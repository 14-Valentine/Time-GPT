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IL\SUT_BANPU\dataset\"/>
    </mc:Choice>
  </mc:AlternateContent>
  <xr:revisionPtr revIDLastSave="0" documentId="13_ncr:1_{80861F1B-D27A-475D-A5F0-C8F6C9ECE1EC}" xr6:coauthVersionLast="47" xr6:coauthVersionMax="47" xr10:uidLastSave="{00000000-0000-0000-0000-000000000000}"/>
  <bookViews>
    <workbookView xWindow="-28920" yWindow="-120" windowWidth="29040" windowHeight="15840" activeTab="2" xr2:uid="{91E7D25A-54CD-4006-86ED-1FEA4E8DE4C2}"/>
  </bookViews>
  <sheets>
    <sheet name="ROLLING" sheetId="21" r:id="rId1"/>
    <sheet name="ROLLING 2023" sheetId="19" r:id="rId2"/>
    <sheet name="ROLLING 2022-23" sheetId="20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0" l="1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4" i="20"/>
  <c r="R5" i="21"/>
  <c r="R6" i="21"/>
  <c r="R7" i="21"/>
  <c r="R8" i="21"/>
  <c r="R9" i="21"/>
  <c r="R10" i="21"/>
  <c r="R11" i="21"/>
  <c r="R12" i="21"/>
  <c r="R13" i="21"/>
  <c r="R14" i="21"/>
  <c r="R15" i="21"/>
  <c r="R4" i="21"/>
  <c r="L5" i="21"/>
  <c r="L6" i="21"/>
  <c r="L7" i="21"/>
  <c r="L8" i="21"/>
  <c r="L9" i="21"/>
  <c r="L10" i="21"/>
  <c r="L11" i="21"/>
  <c r="L12" i="21"/>
  <c r="L13" i="21"/>
  <c r="L14" i="21"/>
  <c r="L15" i="21"/>
  <c r="L4" i="21"/>
  <c r="Q5" i="19"/>
  <c r="Q6" i="19"/>
  <c r="Q7" i="19"/>
  <c r="Q8" i="19"/>
  <c r="Q9" i="19"/>
  <c r="Q10" i="19"/>
  <c r="Q11" i="19"/>
  <c r="Q12" i="19"/>
  <c r="Q13" i="19"/>
  <c r="Q14" i="19"/>
  <c r="Q15" i="19"/>
  <c r="Q4" i="19"/>
  <c r="P16" i="19" s="1"/>
  <c r="P17" i="19" s="1"/>
  <c r="K5" i="19"/>
  <c r="K6" i="19"/>
  <c r="K7" i="19"/>
  <c r="K8" i="19"/>
  <c r="K9" i="19"/>
  <c r="K10" i="19"/>
  <c r="K11" i="19"/>
  <c r="K12" i="19"/>
  <c r="K13" i="19"/>
  <c r="K14" i="19"/>
  <c r="K15" i="19"/>
  <c r="K4" i="19"/>
  <c r="E18" i="20" l="1"/>
  <c r="Q16" i="21"/>
  <c r="M18" i="20"/>
  <c r="J16" i="19"/>
  <c r="K16" i="21"/>
  <c r="Q19" i="20"/>
  <c r="K19" i="20"/>
  <c r="R18" i="20" l="1"/>
  <c r="R16" i="19"/>
  <c r="L16" i="19"/>
  <c r="S16" i="21"/>
  <c r="M16" i="21"/>
  <c r="Q17" i="21"/>
  <c r="K17" i="21"/>
  <c r="J17" i="19"/>
</calcChain>
</file>

<file path=xl/sharedStrings.xml><?xml version="1.0" encoding="utf-8"?>
<sst xmlns="http://schemas.openxmlformats.org/spreadsheetml/2006/main" count="105" uniqueCount="27">
  <si>
    <t>RMSE</t>
  </si>
  <si>
    <t>DATE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</si>
  <si>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</si>
  <si>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</si>
  <si>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</si>
  <si>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</si>
  <si>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</si>
  <si>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</si>
  <si>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</si>
  <si>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</si>
  <si>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</si>
  <si>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</si>
  <si>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</si>
  <si>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</si>
  <si>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Total</t>
  </si>
  <si>
    <t>Rolling</t>
  </si>
  <si>
    <t>DA_TK</t>
  </si>
  <si>
    <t>DA_KS</t>
  </si>
  <si>
    <t>IM_TK</t>
  </si>
  <si>
    <t>IM_KS</t>
  </si>
  <si>
    <t>2023-11</t>
  </si>
  <si>
    <t>2023-12</t>
  </si>
  <si>
    <t>days</t>
  </si>
  <si>
    <t>mean-RMSE</t>
  </si>
  <si>
    <t>SD-RMSE</t>
  </si>
  <si>
    <t>improved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</si>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</sst>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D4D4D4"/>
      <name val="Segoe UI"/>
      <family val="2"/>
    </font>
    <font>
      <sz val="11"/>
      <color rgb="FF242424"/>
      <name val="Calibri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Menlo"/>
      <family val="2"/>
    </font>
    <font>
      <b/>
      <sz val="9"/>
      <color theme="1"/>
      <name val="Menlo"/>
      <family val="2"/>
    </font>
    <font>
      <sz val="12"/>
      <color rgb="FFD4D4D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9093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/>
    <xf numFmtId="0" fontId="5" fillId="0" borderId="4" xfId="0" applyFont="1" applyBorder="1"/>
    <xf numFmtId="2" fontId="5" fillId="0" borderId="4" xfId="0" applyNumberFormat="1" applyFont="1" applyBorder="1"/>
    <xf numFmtId="2" fontId="0" fillId="0" borderId="4" xfId="0" applyNumberFormat="1" applyBorder="1"/>
    <xf numFmtId="2" fontId="0" fillId="3" borderId="4" xfId="0" applyNumberFormat="1" applyFill="1" applyBorder="1"/>
    <xf numFmtId="2" fontId="0" fillId="4" borderId="4" xfId="0" applyNumberFormat="1" applyFill="1" applyBorder="1"/>
    <xf numFmtId="2" fontId="0" fillId="5" borderId="4" xfId="0" applyNumberFormat="1" applyFill="1" applyBorder="1"/>
    <xf numFmtId="2" fontId="1" fillId="5" borderId="4" xfId="0" applyNumberFormat="1" applyFont="1" applyFill="1" applyBorder="1"/>
    <xf numFmtId="2" fontId="1" fillId="4" borderId="4" xfId="0" applyNumberFormat="1" applyFont="1" applyFill="1" applyBorder="1"/>
    <xf numFmtId="2" fontId="1" fillId="3" borderId="4" xfId="0" applyNumberFormat="1" applyFont="1" applyFill="1" applyBorder="1"/>
    <xf numFmtId="0" fontId="4" fillId="0" borderId="0" xfId="0" applyFont="1"/>
    <xf numFmtId="17" fontId="5" fillId="0" borderId="0" xfId="0" applyNumberFormat="1" applyFont="1"/>
    <xf numFmtId="0" fontId="5" fillId="0" borderId="0" xfId="0" applyFont="1"/>
    <xf numFmtId="2" fontId="6" fillId="5" borderId="0" xfId="0" applyNumberFormat="1" applyFont="1" applyFill="1"/>
    <xf numFmtId="2" fontId="1" fillId="6" borderId="4" xfId="0" applyNumberFormat="1" applyFont="1" applyFill="1" applyBorder="1"/>
    <xf numFmtId="2" fontId="0" fillId="6" borderId="4" xfId="0" applyNumberFormat="1" applyFill="1" applyBorder="1"/>
    <xf numFmtId="2" fontId="7" fillId="5" borderId="0" xfId="0" applyNumberFormat="1" applyFont="1" applyFill="1"/>
    <xf numFmtId="0" fontId="0" fillId="0" borderId="5" xfId="0" applyBorder="1"/>
    <xf numFmtId="0" fontId="0" fillId="0" borderId="6" xfId="0" applyBorder="1"/>
    <xf numFmtId="17" fontId="8" fillId="0" borderId="0" xfId="0" applyNumberFormat="1" applyFont="1"/>
    <xf numFmtId="0" fontId="8" fillId="0" borderId="0" xfId="0" applyFont="1"/>
    <xf numFmtId="17" fontId="5" fillId="0" borderId="4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9093"/>
      <color rgb="FFFFF5C1"/>
      <color rgb="FFFFF0A3"/>
      <color rgb="FF83CB96"/>
      <color rgb="FFFBB3B5"/>
      <color rgb="FFADDD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077E-ADAA-496A-9652-23CF646EF0A5}">
  <sheetPr>
    <tabColor rgb="FFFFF5C1"/>
  </sheetPr>
  <dimension ref="B1:S23"/>
  <sheetViews>
    <sheetView topLeftCell="H1" zoomScale="191" zoomScaleNormal="191" workbookViewId="0">
      <selection activeCell="P17" sqref="P17"/>
    </sheetView>
  </sheetViews>
  <sheetFormatPr defaultColWidth="8.85546875" defaultRowHeight="15" customHeight="1"/>
  <cols>
    <col min="1" max="3" width="9.42578125" customWidth="1"/>
    <col min="4" max="4" width="8.42578125" customWidth="1"/>
    <col min="5" max="5" width="8.85546875" customWidth="1"/>
    <col min="6" max="6" width="9.140625" customWidth="1"/>
    <col min="7" max="8" width="9.42578125" customWidth="1"/>
    <col min="11" max="12" width="14.28515625" customWidth="1"/>
    <col min="13" max="13" width="10.7109375" customWidth="1"/>
    <col min="19" max="19" width="11.85546875" customWidth="1"/>
  </cols>
  <sheetData>
    <row r="1" spans="2:19" ht="15.75" customHeight="1"/>
    <row r="2" spans="2:19" ht="15.75" customHeight="1">
      <c r="B2" s="12" t="s">
        <v>0</v>
      </c>
      <c r="C2" s="37" t="s">
        <v>15</v>
      </c>
      <c r="D2" s="37"/>
      <c r="E2" s="37"/>
      <c r="F2" s="37"/>
      <c r="I2" s="14" t="s">
        <v>17</v>
      </c>
      <c r="J2" s="14"/>
      <c r="K2" s="14"/>
      <c r="L2" s="14"/>
      <c r="M2" s="14"/>
      <c r="O2" s="14" t="s">
        <v>16</v>
      </c>
      <c r="P2" s="14"/>
      <c r="Q2" s="14"/>
      <c r="R2" s="14"/>
      <c r="S2" s="14"/>
    </row>
    <row r="3" spans="2:19" ht="15.75" customHeight="1">
      <c r="B3" s="7" t="s">
        <v>1</v>
      </c>
      <c r="C3" s="2" t="s">
        <v>16</v>
      </c>
      <c r="D3" s="2" t="s">
        <v>17</v>
      </c>
      <c r="E3" s="2" t="s">
        <v>18</v>
      </c>
      <c r="F3" s="2" t="s">
        <v>19</v>
      </c>
      <c r="I3" s="14" t="s">
        <v>1</v>
      </c>
      <c r="J3" s="14"/>
      <c r="K3" s="15" t="s">
        <v>23</v>
      </c>
      <c r="L3" s="15"/>
      <c r="M3" s="15" t="s">
        <v>24</v>
      </c>
      <c r="O3" s="15" t="s">
        <v>1</v>
      </c>
      <c r="P3" s="15"/>
      <c r="Q3" s="15" t="s">
        <v>23</v>
      </c>
      <c r="R3" s="15"/>
      <c r="S3" s="15" t="s">
        <v>24</v>
      </c>
    </row>
    <row r="4" spans="2:19" ht="15.75" customHeight="1">
      <c r="B4" s="2" t="s">
        <v>2</v>
      </c>
      <c r="C4" s="3">
        <v>5.03</v>
      </c>
      <c r="D4" s="3">
        <v>6.0679999999999996</v>
      </c>
      <c r="E4" s="3">
        <v>9.7639999999999993</v>
      </c>
      <c r="F4" s="3">
        <v>8.2390000000000008</v>
      </c>
      <c r="I4" s="26">
        <v>44866</v>
      </c>
      <c r="J4" s="27">
        <v>30</v>
      </c>
      <c r="K4" s="27">
        <v>5.8145110000000004</v>
      </c>
      <c r="L4" s="17">
        <f>K4*K4*J4</f>
        <v>1014.2561450736303</v>
      </c>
      <c r="M4" s="17">
        <v>1.9102680000000001</v>
      </c>
      <c r="N4" s="11"/>
      <c r="O4" s="34">
        <v>44866</v>
      </c>
      <c r="P4" s="35">
        <v>30</v>
      </c>
      <c r="Q4" s="35">
        <v>4.7416999999999998</v>
      </c>
      <c r="R4" s="16">
        <f>P4*Q4*Q4</f>
        <v>674.5115667</v>
      </c>
      <c r="S4" s="16">
        <v>1.734801</v>
      </c>
    </row>
    <row r="5" spans="2:19" ht="15.75" customHeight="1">
      <c r="B5" s="2" t="s">
        <v>3</v>
      </c>
      <c r="C5" s="1">
        <v>5.7889999999999997</v>
      </c>
      <c r="D5" s="1">
        <v>5.6260000000000003</v>
      </c>
      <c r="E5" s="1">
        <v>8.9329999999999998</v>
      </c>
      <c r="F5" s="1">
        <v>9.0359999999999996</v>
      </c>
      <c r="I5" s="26">
        <v>44896</v>
      </c>
      <c r="J5" s="27">
        <v>31</v>
      </c>
      <c r="K5" s="27">
        <v>4.8179230000000004</v>
      </c>
      <c r="L5" s="17">
        <f t="shared" ref="L5:L15" si="0">K5*K5*J5</f>
        <v>719.58384305179914</v>
      </c>
      <c r="M5" s="17">
        <v>2.3462399999999999</v>
      </c>
      <c r="N5" s="11"/>
      <c r="O5" s="34">
        <v>44896</v>
      </c>
      <c r="P5" s="35">
        <v>31</v>
      </c>
      <c r="Q5" s="35">
        <v>5.1265419999999997</v>
      </c>
      <c r="R5" s="16">
        <f t="shared" ref="R5:R15" si="1">P5*Q5*Q5</f>
        <v>814.72441921068389</v>
      </c>
      <c r="S5" s="16">
        <v>2.2657060000000002</v>
      </c>
    </row>
    <row r="6" spans="2:19" ht="15.75" customHeight="1">
      <c r="B6" s="2" t="s">
        <v>4</v>
      </c>
      <c r="C6" s="1">
        <v>4.774</v>
      </c>
      <c r="D6" s="1">
        <v>4.6589999999999998</v>
      </c>
      <c r="E6" s="1">
        <v>8.1159999999999997</v>
      </c>
      <c r="F6" s="1">
        <v>8.0380000000000003</v>
      </c>
      <c r="I6" s="26">
        <v>44927</v>
      </c>
      <c r="J6" s="27">
        <v>31</v>
      </c>
      <c r="K6" s="27">
        <v>4.1165669999999999</v>
      </c>
      <c r="L6" s="17">
        <f t="shared" si="0"/>
        <v>525.32983983015902</v>
      </c>
      <c r="M6" s="17">
        <v>1.98743</v>
      </c>
      <c r="N6" s="11"/>
      <c r="O6" s="34">
        <v>44927</v>
      </c>
      <c r="P6" s="35">
        <v>31</v>
      </c>
      <c r="Q6" s="35">
        <v>3.4735070000000001</v>
      </c>
      <c r="R6" s="16">
        <f t="shared" si="1"/>
        <v>374.02277725051903</v>
      </c>
      <c r="S6" s="16">
        <v>1.718874</v>
      </c>
    </row>
    <row r="7" spans="2:19" ht="15.75" customHeight="1">
      <c r="B7" s="2" t="s">
        <v>5</v>
      </c>
      <c r="C7" s="1">
        <v>3.6560000000000001</v>
      </c>
      <c r="D7" s="1">
        <v>4.2519999999999998</v>
      </c>
      <c r="E7" s="1">
        <v>7.452</v>
      </c>
      <c r="F7" s="1">
        <v>7.1740000000000004</v>
      </c>
      <c r="I7" s="26">
        <v>44958</v>
      </c>
      <c r="J7" s="27">
        <v>28</v>
      </c>
      <c r="K7" s="27">
        <v>3.2718379999999998</v>
      </c>
      <c r="L7" s="17">
        <f t="shared" si="0"/>
        <v>299.73786915083195</v>
      </c>
      <c r="M7" s="17">
        <v>1.9832289999999999</v>
      </c>
      <c r="N7" s="11"/>
      <c r="O7" s="34">
        <v>44958</v>
      </c>
      <c r="P7" s="35">
        <v>28</v>
      </c>
      <c r="Q7" s="35">
        <v>3.123319</v>
      </c>
      <c r="R7" s="16">
        <f t="shared" si="1"/>
        <v>273.14340412130798</v>
      </c>
      <c r="S7" s="16">
        <v>2.1302080000000001</v>
      </c>
    </row>
    <row r="8" spans="2:19" ht="15.75" customHeight="1">
      <c r="B8" s="2" t="s">
        <v>6</v>
      </c>
      <c r="C8" s="1">
        <v>3.2789999999999999</v>
      </c>
      <c r="D8" s="1">
        <v>3.835</v>
      </c>
      <c r="E8" s="1">
        <v>4.6769999999999996</v>
      </c>
      <c r="F8" s="1">
        <v>4.3920000000000003</v>
      </c>
      <c r="I8" s="26">
        <v>44986</v>
      </c>
      <c r="J8" s="27">
        <v>31</v>
      </c>
      <c r="K8" s="27">
        <v>3.2909989999999998</v>
      </c>
      <c r="L8" s="17">
        <f t="shared" si="0"/>
        <v>335.75090695803095</v>
      </c>
      <c r="M8" s="17">
        <v>1.183897</v>
      </c>
      <c r="N8" s="11"/>
      <c r="O8" s="34">
        <v>44986</v>
      </c>
      <c r="P8" s="35">
        <v>31</v>
      </c>
      <c r="Q8" s="35">
        <v>3.068737</v>
      </c>
      <c r="R8" s="16">
        <f t="shared" si="1"/>
        <v>291.93155003023901</v>
      </c>
      <c r="S8" s="16">
        <v>1.176904</v>
      </c>
    </row>
    <row r="9" spans="2:19" ht="15.75" customHeight="1">
      <c r="B9" s="2" t="s">
        <v>7</v>
      </c>
      <c r="C9" s="1">
        <v>4.5289999999999999</v>
      </c>
      <c r="D9" s="1">
        <v>4.1340000000000003</v>
      </c>
      <c r="E9" s="1">
        <v>5.1109999999999998</v>
      </c>
      <c r="F9" s="1">
        <v>5.6849999999999996</v>
      </c>
      <c r="I9" s="26">
        <v>45017</v>
      </c>
      <c r="J9" s="27">
        <v>30</v>
      </c>
      <c r="K9" s="27">
        <v>3.7144949999999999</v>
      </c>
      <c r="L9" s="17">
        <f t="shared" si="0"/>
        <v>413.92419315074994</v>
      </c>
      <c r="M9" s="17">
        <v>1.34633</v>
      </c>
      <c r="N9" s="11"/>
      <c r="O9" s="34">
        <v>45017</v>
      </c>
      <c r="P9" s="35">
        <v>30</v>
      </c>
      <c r="Q9" s="35">
        <v>4.0981439999999996</v>
      </c>
      <c r="R9" s="16">
        <f t="shared" si="1"/>
        <v>503.84352734207988</v>
      </c>
      <c r="S9" s="16">
        <v>1.216161</v>
      </c>
    </row>
    <row r="10" spans="2:19" ht="15.75" customHeight="1">
      <c r="B10" s="2" t="s">
        <v>8</v>
      </c>
      <c r="C10" s="1">
        <v>3.9060000000000001</v>
      </c>
      <c r="D10" s="1">
        <v>4.1159999999999997</v>
      </c>
      <c r="E10" s="1">
        <v>7.7750000000000004</v>
      </c>
      <c r="F10" s="1">
        <v>4.375</v>
      </c>
      <c r="I10" s="26">
        <v>45047</v>
      </c>
      <c r="J10" s="27">
        <v>31</v>
      </c>
      <c r="K10" s="27">
        <v>3.3211810000000002</v>
      </c>
      <c r="L10" s="17">
        <f t="shared" si="0"/>
        <v>341.93754027759104</v>
      </c>
      <c r="M10" s="17">
        <v>1.6014790000000001</v>
      </c>
      <c r="N10" s="11"/>
      <c r="O10" s="34">
        <v>45047</v>
      </c>
      <c r="P10" s="35">
        <v>31</v>
      </c>
      <c r="Q10" s="35">
        <v>3.400258</v>
      </c>
      <c r="R10" s="16">
        <f t="shared" si="1"/>
        <v>358.41438846348404</v>
      </c>
      <c r="S10" s="16">
        <v>1.676636</v>
      </c>
    </row>
    <row r="11" spans="2:19" ht="15.75" customHeight="1">
      <c r="B11" s="2" t="s">
        <v>9</v>
      </c>
      <c r="C11" s="1">
        <v>2.4350000000000001</v>
      </c>
      <c r="D11" s="1">
        <v>3.0609999999999999</v>
      </c>
      <c r="E11" s="1">
        <v>5.891</v>
      </c>
      <c r="F11" s="1">
        <v>4.6479999999999997</v>
      </c>
      <c r="I11" s="26">
        <v>45078</v>
      </c>
      <c r="J11" s="27">
        <v>30</v>
      </c>
      <c r="K11" s="27">
        <v>2.6277940000000002</v>
      </c>
      <c r="L11" s="17">
        <f t="shared" si="0"/>
        <v>207.15903919308002</v>
      </c>
      <c r="M11" s="17">
        <v>1.0817140000000001</v>
      </c>
      <c r="N11" s="11"/>
      <c r="O11" s="34">
        <v>45078</v>
      </c>
      <c r="P11" s="35">
        <v>30</v>
      </c>
      <c r="Q11" s="35">
        <v>2.4192100000000001</v>
      </c>
      <c r="R11" s="16">
        <f t="shared" si="1"/>
        <v>175.57731072300001</v>
      </c>
      <c r="S11" s="16">
        <v>1.0032760000000001</v>
      </c>
    </row>
    <row r="12" spans="2:19" ht="15.75" customHeight="1">
      <c r="B12" s="2" t="s">
        <v>10</v>
      </c>
      <c r="C12" s="1">
        <v>2.3570000000000002</v>
      </c>
      <c r="D12" s="1">
        <v>3.032</v>
      </c>
      <c r="E12" s="1">
        <v>7.9740000000000002</v>
      </c>
      <c r="F12" s="1">
        <v>5.452</v>
      </c>
      <c r="I12" s="26">
        <v>45108</v>
      </c>
      <c r="J12" s="27">
        <v>31</v>
      </c>
      <c r="K12" s="27">
        <v>4.6118389999999998</v>
      </c>
      <c r="L12" s="17">
        <f t="shared" si="0"/>
        <v>659.3408278195509</v>
      </c>
      <c r="M12" s="17">
        <v>1.047431</v>
      </c>
      <c r="N12" s="11"/>
      <c r="O12" s="34">
        <v>45108</v>
      </c>
      <c r="P12" s="35">
        <v>31</v>
      </c>
      <c r="Q12" s="35">
        <v>2.4685830000000002</v>
      </c>
      <c r="R12" s="16">
        <f t="shared" si="1"/>
        <v>188.91096286455905</v>
      </c>
      <c r="S12" s="16">
        <v>1.0545979999999999</v>
      </c>
    </row>
    <row r="13" spans="2:19" ht="15.75" customHeight="1">
      <c r="B13" s="2" t="s">
        <v>11</v>
      </c>
      <c r="C13" s="1">
        <v>1.6259999999999999</v>
      </c>
      <c r="D13" s="1">
        <v>2.4540000000000002</v>
      </c>
      <c r="E13" s="1">
        <v>3.6829999999999998</v>
      </c>
      <c r="F13" s="1">
        <v>2.8170000000000002</v>
      </c>
      <c r="I13" s="26">
        <v>45139</v>
      </c>
      <c r="J13" s="27">
        <v>31</v>
      </c>
      <c r="K13" s="27">
        <v>2.8901970000000001</v>
      </c>
      <c r="L13" s="17">
        <f t="shared" si="0"/>
        <v>258.95039966307905</v>
      </c>
      <c r="M13" s="17">
        <v>0.81147400000000003</v>
      </c>
      <c r="N13" s="11"/>
      <c r="O13" s="34">
        <v>45139</v>
      </c>
      <c r="P13" s="35">
        <v>31</v>
      </c>
      <c r="Q13" s="35">
        <v>1.615545</v>
      </c>
      <c r="R13" s="16">
        <f t="shared" si="1"/>
        <v>80.909555057775009</v>
      </c>
      <c r="S13" s="16">
        <v>0.59435199999999999</v>
      </c>
    </row>
    <row r="14" spans="2:19" ht="15.75" customHeight="1">
      <c r="B14" s="2" t="s">
        <v>12</v>
      </c>
      <c r="C14" s="1">
        <v>4.2309999999999999</v>
      </c>
      <c r="D14" s="1">
        <v>5.18</v>
      </c>
      <c r="E14" s="1">
        <v>7.5430000000000001</v>
      </c>
      <c r="F14" s="1">
        <v>6.5880000000000001</v>
      </c>
      <c r="I14" s="26">
        <v>45170</v>
      </c>
      <c r="J14" s="27">
        <v>30</v>
      </c>
      <c r="K14" s="27">
        <v>2.8223989999999999</v>
      </c>
      <c r="L14" s="17">
        <f t="shared" si="0"/>
        <v>238.97808345602996</v>
      </c>
      <c r="M14" s="17">
        <v>2.1393209999999998</v>
      </c>
      <c r="N14" s="11"/>
      <c r="O14" s="34">
        <v>45170</v>
      </c>
      <c r="P14" s="35">
        <v>30</v>
      </c>
      <c r="Q14" s="35">
        <v>2.699211</v>
      </c>
      <c r="R14" s="16">
        <f t="shared" si="1"/>
        <v>218.57220067563</v>
      </c>
      <c r="S14" s="16">
        <v>2.0469040000000001</v>
      </c>
    </row>
    <row r="15" spans="2:19" ht="15.75" customHeight="1">
      <c r="B15" s="2" t="s">
        <v>13</v>
      </c>
      <c r="C15" s="1">
        <v>3.3690000000000002</v>
      </c>
      <c r="D15" s="1">
        <v>2.6360000000000001</v>
      </c>
      <c r="E15" s="1">
        <v>4.1920000000000002</v>
      </c>
      <c r="F15" s="1">
        <v>5.07</v>
      </c>
      <c r="I15" s="26">
        <v>45200</v>
      </c>
      <c r="J15" s="27">
        <v>31</v>
      </c>
      <c r="K15" s="27">
        <v>3.2183290000000002</v>
      </c>
      <c r="L15" s="17">
        <f t="shared" si="0"/>
        <v>321.08688811947104</v>
      </c>
      <c r="M15" s="17">
        <v>1.2844679999999999</v>
      </c>
      <c r="N15" s="11"/>
      <c r="O15" s="34">
        <v>45200</v>
      </c>
      <c r="P15" s="35">
        <v>31</v>
      </c>
      <c r="Q15" s="35">
        <v>3.3015659999999998</v>
      </c>
      <c r="R15" s="16">
        <f t="shared" si="1"/>
        <v>337.910479623036</v>
      </c>
      <c r="S15" s="16">
        <v>1.391589</v>
      </c>
    </row>
    <row r="16" spans="2:19" ht="15.75" customHeight="1">
      <c r="B16" s="2" t="s">
        <v>14</v>
      </c>
      <c r="C16" s="6">
        <v>3.9239999999999999</v>
      </c>
      <c r="D16" s="6">
        <v>4.2300000000000004</v>
      </c>
      <c r="E16" s="6">
        <v>7.1239999999999997</v>
      </c>
      <c r="F16" s="6">
        <v>6.2430000000000003</v>
      </c>
      <c r="I16" s="14" t="s">
        <v>14</v>
      </c>
      <c r="J16" s="14"/>
      <c r="K16" s="21">
        <f>SQRT(SUM(L4:L15)/SUM(J4:J15))</f>
        <v>3.8235161239340378</v>
      </c>
      <c r="L16" s="21"/>
      <c r="M16" s="18">
        <f>AVERAGE(M4:M15)</f>
        <v>1.5602734166666667</v>
      </c>
      <c r="N16" s="11"/>
      <c r="O16" s="14" t="s">
        <v>14</v>
      </c>
      <c r="P16" s="14"/>
      <c r="Q16" s="21">
        <f>SQRT(SUM(R4:R15)/SUM(P4:P15))</f>
        <v>3.4293144576556105</v>
      </c>
      <c r="R16" s="21"/>
      <c r="S16" s="18">
        <f>AVERAGE(S4:S15)</f>
        <v>1.5008340833333333</v>
      </c>
    </row>
    <row r="17" spans="3:19" ht="15.75" customHeight="1">
      <c r="C17" s="11"/>
      <c r="D17" s="9"/>
      <c r="E17" s="9"/>
      <c r="I17" s="14" t="s">
        <v>25</v>
      </c>
      <c r="J17" s="14"/>
      <c r="K17" s="19">
        <f>(D16-K16)*100/D16</f>
        <v>9.6095478975404856</v>
      </c>
      <c r="L17" s="19"/>
      <c r="M17" s="18" t="s">
        <v>26</v>
      </c>
      <c r="N17" s="11"/>
      <c r="O17" s="14" t="s">
        <v>25</v>
      </c>
      <c r="P17" s="14"/>
      <c r="Q17" s="30">
        <f>(C16-Q16)*100/C16</f>
        <v>12.606665197359566</v>
      </c>
      <c r="R17" s="20"/>
      <c r="S17" s="18" t="s">
        <v>26</v>
      </c>
    </row>
    <row r="18" spans="3:19" ht="15.75" customHeight="1"/>
    <row r="19" spans="3:19" ht="15.75" customHeight="1"/>
    <row r="20" spans="3:19" ht="15.75" customHeight="1"/>
    <row r="21" spans="3:19" ht="15.75" customHeight="1"/>
    <row r="22" spans="3:19" ht="15.75" customHeight="1"/>
    <row r="23" spans="3:19" ht="15.75" customHeight="1"/>
  </sheetData>
  <mergeCells count="1">
    <mergeCell ref="C2:F2"/>
  </mergeCells>
  <conditionalFormatting sqref="C4:C16">
    <cfRule type="colorScale" priority="4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conditionalFormatting sqref="D4:D16">
    <cfRule type="colorScale" priority="3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conditionalFormatting sqref="E4:E16">
    <cfRule type="colorScale" priority="2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conditionalFormatting sqref="F4:F16">
    <cfRule type="colorScale" priority="1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815D-3CC2-4E10-9D59-960A6847686D}">
  <sheetPr>
    <tabColor theme="9" tint="0.59999389629810485"/>
  </sheetPr>
  <dimension ref="B2:R19"/>
  <sheetViews>
    <sheetView zoomScale="196" zoomScaleNormal="196" workbookViewId="0">
      <selection activeCell="C3" sqref="C3:D15"/>
    </sheetView>
  </sheetViews>
  <sheetFormatPr defaultColWidth="8.85546875" defaultRowHeight="15" customHeight="1"/>
  <cols>
    <col min="3" max="3" width="9.140625" customWidth="1"/>
    <col min="4" max="4" width="9.42578125" customWidth="1"/>
    <col min="9" max="9" width="8.85546875" customWidth="1"/>
    <col min="17" max="17" width="0" hidden="1" customWidth="1"/>
  </cols>
  <sheetData>
    <row r="2" spans="2:18" ht="14.45" customHeight="1">
      <c r="B2" s="12" t="s">
        <v>0</v>
      </c>
      <c r="C2" s="38" t="s">
        <v>15</v>
      </c>
      <c r="D2" s="38"/>
      <c r="E2" s="38"/>
      <c r="F2" s="38"/>
      <c r="H2" s="14" t="s">
        <v>17</v>
      </c>
      <c r="I2" s="14"/>
      <c r="L2" s="14"/>
      <c r="N2" s="14" t="s">
        <v>16</v>
      </c>
      <c r="O2" s="14"/>
      <c r="P2" s="14"/>
      <c r="Q2" s="14"/>
      <c r="R2" s="14"/>
    </row>
    <row r="3" spans="2:18" ht="13.5" customHeight="1">
      <c r="B3" s="5" t="s">
        <v>1</v>
      </c>
      <c r="C3" s="2" t="s">
        <v>16</v>
      </c>
      <c r="D3" s="13" t="s">
        <v>17</v>
      </c>
      <c r="E3" s="2" t="s">
        <v>18</v>
      </c>
      <c r="F3" s="2" t="s">
        <v>19</v>
      </c>
      <c r="H3" s="14" t="s">
        <v>1</v>
      </c>
      <c r="I3" s="15" t="s">
        <v>22</v>
      </c>
      <c r="J3" s="15" t="s">
        <v>23</v>
      </c>
      <c r="K3" s="15"/>
      <c r="L3" s="15" t="s">
        <v>24</v>
      </c>
      <c r="N3" s="15" t="s">
        <v>1</v>
      </c>
      <c r="O3" s="15"/>
      <c r="P3" s="15" t="s">
        <v>23</v>
      </c>
      <c r="Q3" s="15"/>
      <c r="R3" s="15" t="s">
        <v>24</v>
      </c>
    </row>
    <row r="4" spans="2:18" ht="15.75">
      <c r="B4" s="2" t="s">
        <v>4</v>
      </c>
      <c r="C4" s="1">
        <v>4.7736266040000004</v>
      </c>
      <c r="D4" s="1">
        <v>4.6589860700000001</v>
      </c>
      <c r="E4" s="1">
        <v>8.1163772339999998</v>
      </c>
      <c r="F4" s="1">
        <v>8.0379160410000008</v>
      </c>
      <c r="H4" s="26">
        <v>44927</v>
      </c>
      <c r="I4" s="27">
        <v>31</v>
      </c>
      <c r="J4" s="27">
        <v>4.1165669999999999</v>
      </c>
      <c r="K4" s="17">
        <f>J4*J4*I4</f>
        <v>525.32983983015902</v>
      </c>
      <c r="L4" s="17">
        <v>1.98743</v>
      </c>
      <c r="M4" s="11"/>
      <c r="N4" s="26">
        <v>44927</v>
      </c>
      <c r="O4" s="27">
        <v>31</v>
      </c>
      <c r="P4" s="27">
        <v>3.4735070000000001</v>
      </c>
      <c r="Q4" s="16">
        <f>P4*P4*O4</f>
        <v>374.02277725051903</v>
      </c>
      <c r="R4" s="16">
        <v>1.718874</v>
      </c>
    </row>
    <row r="5" spans="2:18" ht="15.75">
      <c r="B5" s="2" t="s">
        <v>5</v>
      </c>
      <c r="C5" s="1">
        <v>3.6558104259999999</v>
      </c>
      <c r="D5" s="1">
        <v>4.2521672959999997</v>
      </c>
      <c r="E5" s="1">
        <v>7.4515971710000004</v>
      </c>
      <c r="F5" s="1">
        <v>7.1743168370000001</v>
      </c>
      <c r="H5" s="26">
        <v>44958</v>
      </c>
      <c r="I5" s="27">
        <v>28</v>
      </c>
      <c r="J5" s="27">
        <v>3.2718379999999998</v>
      </c>
      <c r="K5" s="17">
        <f t="shared" ref="K5:K15" si="0">J5*J5*I5</f>
        <v>299.73786915083195</v>
      </c>
      <c r="L5" s="17">
        <v>1.9832289999999999</v>
      </c>
      <c r="M5" s="11"/>
      <c r="N5" s="26">
        <v>44958</v>
      </c>
      <c r="O5" s="27">
        <v>28</v>
      </c>
      <c r="P5" s="27">
        <v>3.123319</v>
      </c>
      <c r="Q5" s="16">
        <f t="shared" ref="Q5:Q15" si="1">P5*P5*O5</f>
        <v>273.14340412130804</v>
      </c>
      <c r="R5" s="16">
        <v>2.1302080000000001</v>
      </c>
    </row>
    <row r="6" spans="2:18" ht="15.75">
      <c r="B6" s="2" t="s">
        <v>6</v>
      </c>
      <c r="C6" s="1">
        <v>3.2792545369999999</v>
      </c>
      <c r="D6" s="1">
        <v>3.8349522020000002</v>
      </c>
      <c r="E6" s="1">
        <v>4.676587864</v>
      </c>
      <c r="F6" s="1">
        <v>4.392054549</v>
      </c>
      <c r="H6" s="26">
        <v>44986</v>
      </c>
      <c r="I6" s="27">
        <v>31</v>
      </c>
      <c r="J6" s="27">
        <v>3.2909989999999998</v>
      </c>
      <c r="K6" s="17">
        <f t="shared" si="0"/>
        <v>335.75090695803095</v>
      </c>
      <c r="L6" s="17">
        <v>1.183897</v>
      </c>
      <c r="M6" s="11"/>
      <c r="N6" s="26">
        <v>44986</v>
      </c>
      <c r="O6" s="27">
        <v>31</v>
      </c>
      <c r="P6" s="27">
        <v>3.068737</v>
      </c>
      <c r="Q6" s="16">
        <f t="shared" si="1"/>
        <v>291.93155003023901</v>
      </c>
      <c r="R6" s="16">
        <v>1.176904</v>
      </c>
    </row>
    <row r="7" spans="2:18" ht="15.75">
      <c r="B7" s="2" t="s">
        <v>7</v>
      </c>
      <c r="C7" s="1">
        <v>4.5291598300000002</v>
      </c>
      <c r="D7" s="1">
        <v>4.1340661220000001</v>
      </c>
      <c r="E7" s="1">
        <v>5.1107563579999997</v>
      </c>
      <c r="F7" s="1">
        <v>5.6848538099999999</v>
      </c>
      <c r="H7" s="26">
        <v>45017</v>
      </c>
      <c r="I7" s="27">
        <v>30</v>
      </c>
      <c r="J7" s="27">
        <v>3.7144949999999999</v>
      </c>
      <c r="K7" s="17">
        <f t="shared" si="0"/>
        <v>413.92419315074994</v>
      </c>
      <c r="L7" s="17">
        <v>1.34633</v>
      </c>
      <c r="M7" s="11"/>
      <c r="N7" s="26">
        <v>45017</v>
      </c>
      <c r="O7" s="27">
        <v>30</v>
      </c>
      <c r="P7" s="27">
        <v>4.0981439999999996</v>
      </c>
      <c r="Q7" s="16">
        <f t="shared" si="1"/>
        <v>503.84352734207988</v>
      </c>
      <c r="R7" s="16">
        <v>1.216161</v>
      </c>
    </row>
    <row r="8" spans="2:18" ht="15.75">
      <c r="B8" s="2" t="s">
        <v>8</v>
      </c>
      <c r="C8" s="1">
        <v>3.90630619</v>
      </c>
      <c r="D8" s="1">
        <v>4.1158585079999996</v>
      </c>
      <c r="E8" s="1">
        <v>7.7749484860000004</v>
      </c>
      <c r="F8" s="1">
        <v>4.3754246820000002</v>
      </c>
      <c r="H8" s="26">
        <v>45047</v>
      </c>
      <c r="I8" s="27">
        <v>31</v>
      </c>
      <c r="J8" s="27">
        <v>3.3211810000000002</v>
      </c>
      <c r="K8" s="17">
        <f t="shared" si="0"/>
        <v>341.93754027759104</v>
      </c>
      <c r="L8" s="17">
        <v>1.6014790000000001</v>
      </c>
      <c r="M8" s="11"/>
      <c r="N8" s="26">
        <v>45047</v>
      </c>
      <c r="O8" s="27">
        <v>31</v>
      </c>
      <c r="P8" s="27">
        <v>3.400258</v>
      </c>
      <c r="Q8" s="16">
        <f t="shared" si="1"/>
        <v>358.41438846348399</v>
      </c>
      <c r="R8" s="16">
        <v>1.676636</v>
      </c>
    </row>
    <row r="9" spans="2:18" ht="15.75">
      <c r="B9" s="2" t="s">
        <v>9</v>
      </c>
      <c r="C9" s="1">
        <v>2.4353058000000001</v>
      </c>
      <c r="D9" s="1">
        <v>3.0607353759999998</v>
      </c>
      <c r="E9" s="1">
        <v>5.8912416869999999</v>
      </c>
      <c r="F9" s="1">
        <v>4.6483716450000001</v>
      </c>
      <c r="H9" s="26">
        <v>45078</v>
      </c>
      <c r="I9" s="27">
        <v>30</v>
      </c>
      <c r="J9" s="27">
        <v>2.6277940000000002</v>
      </c>
      <c r="K9" s="17">
        <f t="shared" si="0"/>
        <v>207.15903919308002</v>
      </c>
      <c r="L9" s="17">
        <v>1.0817140000000001</v>
      </c>
      <c r="M9" s="11"/>
      <c r="N9" s="26">
        <v>45078</v>
      </c>
      <c r="O9" s="27">
        <v>30</v>
      </c>
      <c r="P9" s="27">
        <v>2.4192100000000001</v>
      </c>
      <c r="Q9" s="16">
        <f t="shared" si="1"/>
        <v>175.57731072300001</v>
      </c>
      <c r="R9" s="16">
        <v>1.0032760000000001</v>
      </c>
    </row>
    <row r="10" spans="2:18" ht="15.75">
      <c r="B10" s="2" t="s">
        <v>10</v>
      </c>
      <c r="C10" s="1">
        <v>2.356642076</v>
      </c>
      <c r="D10" s="1">
        <v>3.0319472169999999</v>
      </c>
      <c r="E10" s="1">
        <v>7.9742130820000003</v>
      </c>
      <c r="F10" s="1">
        <v>5.4519105950000002</v>
      </c>
      <c r="H10" s="26">
        <v>45108</v>
      </c>
      <c r="I10" s="27">
        <v>31</v>
      </c>
      <c r="J10" s="27">
        <v>4.6118389999999998</v>
      </c>
      <c r="K10" s="17">
        <f t="shared" si="0"/>
        <v>659.3408278195509</v>
      </c>
      <c r="L10" s="17">
        <v>1.047431</v>
      </c>
      <c r="M10" s="11"/>
      <c r="N10" s="26">
        <v>45108</v>
      </c>
      <c r="O10" s="27">
        <v>31</v>
      </c>
      <c r="P10" s="27">
        <v>2.4685830000000002</v>
      </c>
      <c r="Q10" s="16">
        <f t="shared" si="1"/>
        <v>188.91096286455905</v>
      </c>
      <c r="R10" s="16">
        <v>1.0545979999999999</v>
      </c>
    </row>
    <row r="11" spans="2:18" ht="15.75">
      <c r="B11" s="2" t="s">
        <v>11</v>
      </c>
      <c r="C11" s="1">
        <v>1.6263760330000001</v>
      </c>
      <c r="D11" s="1">
        <v>2.4539029050000001</v>
      </c>
      <c r="E11" s="1">
        <v>3.6830604999999998</v>
      </c>
      <c r="F11" s="1">
        <v>2.8170025289999998</v>
      </c>
      <c r="H11" s="26">
        <v>45139</v>
      </c>
      <c r="I11" s="27">
        <v>31</v>
      </c>
      <c r="J11" s="27">
        <v>2.8901970000000001</v>
      </c>
      <c r="K11" s="17">
        <f t="shared" si="0"/>
        <v>258.95039966307905</v>
      </c>
      <c r="L11" s="17">
        <v>0.81147400000000003</v>
      </c>
      <c r="M11" s="11"/>
      <c r="N11" s="26">
        <v>45139</v>
      </c>
      <c r="O11" s="27">
        <v>31</v>
      </c>
      <c r="P11" s="27">
        <v>1.615545</v>
      </c>
      <c r="Q11" s="16">
        <f t="shared" si="1"/>
        <v>80.909555057775009</v>
      </c>
      <c r="R11" s="16">
        <v>0.59435199999999999</v>
      </c>
    </row>
    <row r="12" spans="2:18" ht="15.75">
      <c r="B12" s="2" t="s">
        <v>12</v>
      </c>
      <c r="C12" s="1">
        <v>4.2314853799999996</v>
      </c>
      <c r="D12" s="1">
        <v>5.180086395</v>
      </c>
      <c r="E12" s="1">
        <v>7.5156514720000001</v>
      </c>
      <c r="F12" s="1">
        <v>6.5934120949999997</v>
      </c>
      <c r="H12" s="26">
        <v>45170</v>
      </c>
      <c r="I12" s="27">
        <v>30</v>
      </c>
      <c r="J12" s="27">
        <v>2.8223989999999999</v>
      </c>
      <c r="K12" s="17">
        <f t="shared" si="0"/>
        <v>238.97808345602996</v>
      </c>
      <c r="L12" s="17">
        <v>2.1393209999999998</v>
      </c>
      <c r="M12" s="11"/>
      <c r="N12" s="26">
        <v>45170</v>
      </c>
      <c r="O12" s="27">
        <v>30</v>
      </c>
      <c r="P12" s="27">
        <v>2.699211</v>
      </c>
      <c r="Q12" s="16">
        <f t="shared" si="1"/>
        <v>218.57220067563</v>
      </c>
      <c r="R12" s="16">
        <v>2.0469040000000001</v>
      </c>
    </row>
    <row r="13" spans="2:18" ht="15.75">
      <c r="B13" s="2" t="s">
        <v>13</v>
      </c>
      <c r="C13" s="1">
        <v>3.3694093359999999</v>
      </c>
      <c r="D13" s="1">
        <v>2.6357319110000001</v>
      </c>
      <c r="E13" s="1">
        <v>4.9769918740000003</v>
      </c>
      <c r="F13" s="1">
        <v>4.0249376679999997</v>
      </c>
      <c r="H13" s="26">
        <v>45200</v>
      </c>
      <c r="I13" s="27">
        <v>31</v>
      </c>
      <c r="J13" s="27">
        <v>3.2183290000000002</v>
      </c>
      <c r="K13" s="17">
        <f t="shared" si="0"/>
        <v>321.08688811947104</v>
      </c>
      <c r="L13" s="17">
        <v>1.2844679999999999</v>
      </c>
      <c r="M13" s="11"/>
      <c r="N13" s="26">
        <v>45200</v>
      </c>
      <c r="O13" s="27">
        <v>31</v>
      </c>
      <c r="P13" s="27">
        <v>3.3015659999999998</v>
      </c>
      <c r="Q13" s="16">
        <f t="shared" si="1"/>
        <v>337.91047962303594</v>
      </c>
      <c r="R13" s="16">
        <v>1.391589</v>
      </c>
    </row>
    <row r="14" spans="2:18" ht="15.75">
      <c r="B14" s="2" t="s">
        <v>20</v>
      </c>
      <c r="C14" s="4">
        <v>2.494168991</v>
      </c>
      <c r="D14" s="1">
        <v>2.927959113</v>
      </c>
      <c r="E14" s="1">
        <v>4.5442042310000001</v>
      </c>
      <c r="F14" s="1">
        <v>5.5562219060000002</v>
      </c>
      <c r="H14" s="26">
        <v>45231</v>
      </c>
      <c r="I14" s="27">
        <v>30</v>
      </c>
      <c r="J14" s="27">
        <v>2.7559809999999998</v>
      </c>
      <c r="K14" s="17">
        <f t="shared" si="0"/>
        <v>227.86293817082998</v>
      </c>
      <c r="L14" s="17">
        <v>0.91380899999999998</v>
      </c>
      <c r="M14" s="11"/>
      <c r="N14" s="26">
        <v>45231</v>
      </c>
      <c r="O14" s="27">
        <v>30</v>
      </c>
      <c r="P14" s="27">
        <v>2.9722520000000001</v>
      </c>
      <c r="Q14" s="16">
        <f t="shared" si="1"/>
        <v>265.02845854511997</v>
      </c>
      <c r="R14" s="16">
        <v>0.88844000000000001</v>
      </c>
    </row>
    <row r="15" spans="2:18" ht="15.75">
      <c r="B15" s="2" t="s">
        <v>21</v>
      </c>
      <c r="C15" s="4">
        <v>2.715102103</v>
      </c>
      <c r="D15" s="1">
        <v>3.842757116</v>
      </c>
      <c r="E15" s="1">
        <v>3.7932247239999999</v>
      </c>
      <c r="F15" s="1">
        <v>4.1686468239999996</v>
      </c>
      <c r="H15" s="26">
        <v>45261</v>
      </c>
      <c r="I15" s="27">
        <v>31</v>
      </c>
      <c r="J15" s="27">
        <v>2.3280859999999999</v>
      </c>
      <c r="K15" s="17">
        <f t="shared" si="0"/>
        <v>168.019517125276</v>
      </c>
      <c r="L15" s="17">
        <v>0.97520799999999996</v>
      </c>
      <c r="M15" s="11"/>
      <c r="N15" s="26">
        <v>45261</v>
      </c>
      <c r="O15" s="27">
        <v>31</v>
      </c>
      <c r="P15" s="27">
        <v>2.629235</v>
      </c>
      <c r="Q15" s="16">
        <f t="shared" si="1"/>
        <v>214.299177241975</v>
      </c>
      <c r="R15" s="16">
        <v>0.96335800000000005</v>
      </c>
    </row>
    <row r="16" spans="2:18">
      <c r="B16" s="2" t="s">
        <v>14</v>
      </c>
      <c r="C16" s="8">
        <v>3.407794124</v>
      </c>
      <c r="D16" s="8">
        <v>3.760260132</v>
      </c>
      <c r="E16" s="8">
        <v>6.1695944669999996</v>
      </c>
      <c r="F16" s="8">
        <v>5.4122957139999999</v>
      </c>
      <c r="H16" s="14" t="s">
        <v>14</v>
      </c>
      <c r="I16" s="14"/>
      <c r="J16" s="22">
        <f>SQRT(SUM(K4:K15)/SUM(I4:I15))</f>
        <v>3.3096281473511264</v>
      </c>
      <c r="K16" s="22"/>
      <c r="L16" s="18">
        <f>AVERAGE(L4:L15)</f>
        <v>1.3629825</v>
      </c>
      <c r="M16" s="11"/>
      <c r="N16" s="14" t="s">
        <v>14</v>
      </c>
      <c r="O16" s="14"/>
      <c r="P16" s="22">
        <f>SQRT(SUM(Q4:Q15)/SUM(O4:O15))</f>
        <v>2.9988873699034397</v>
      </c>
      <c r="Q16" s="22"/>
      <c r="R16" s="18">
        <f>AVERAGE(R4:R15)</f>
        <v>1.3217749999999999</v>
      </c>
    </row>
    <row r="17" spans="3:18" ht="13.5" customHeight="1">
      <c r="C17" s="11"/>
      <c r="D17" s="11"/>
      <c r="H17" s="14" t="s">
        <v>25</v>
      </c>
      <c r="I17" s="14"/>
      <c r="J17" s="29">
        <f>(D16-J16)*100/D16</f>
        <v>11.984064102745792</v>
      </c>
      <c r="K17" s="23"/>
      <c r="L17" s="18" t="s">
        <v>26</v>
      </c>
      <c r="M17" s="11"/>
      <c r="N17" s="14" t="s">
        <v>25</v>
      </c>
      <c r="O17" s="14"/>
      <c r="P17" s="29">
        <f>(C16-P16)*100/C16</f>
        <v>11.999162485103231</v>
      </c>
      <c r="Q17" s="23"/>
      <c r="R17" s="18" t="s">
        <v>26</v>
      </c>
    </row>
    <row r="18" spans="3:18">
      <c r="C18" s="11"/>
    </row>
    <row r="19" spans="3:18"/>
  </sheetData>
  <mergeCells count="1">
    <mergeCell ref="C2:F2"/>
  </mergeCells>
  <conditionalFormatting sqref="C4:C16">
    <cfRule type="colorScale" priority="6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conditionalFormatting sqref="D4:D16">
    <cfRule type="colorScale" priority="3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conditionalFormatting sqref="E4:E16">
    <cfRule type="colorScale" priority="2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conditionalFormatting sqref="F4:F16">
    <cfRule type="colorScale" priority="1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03E4-6778-42AD-9B07-C41E29BEFA64}">
  <sheetPr>
    <tabColor theme="7" tint="0.59999389629810485"/>
  </sheetPr>
  <dimension ref="B1:S21"/>
  <sheetViews>
    <sheetView tabSelected="1" zoomScale="130" zoomScaleNormal="130" workbookViewId="0">
      <selection activeCell="I4" sqref="I4:L17"/>
    </sheetView>
  </sheetViews>
  <sheetFormatPr defaultColWidth="8.85546875" defaultRowHeight="16.5" customHeight="1"/>
  <cols>
    <col min="3" max="3" width="8.42578125" bestFit="1" customWidth="1"/>
    <col min="10" max="10" width="8.85546875" customWidth="1"/>
    <col min="11" max="11" width="9" bestFit="1" customWidth="1"/>
    <col min="12" max="12" width="9" customWidth="1"/>
    <col min="13" max="13" width="9" bestFit="1" customWidth="1"/>
    <col min="15" max="15" width="12.140625" bestFit="1" customWidth="1"/>
    <col min="16" max="16" width="9" customWidth="1"/>
    <col min="17" max="18" width="9" bestFit="1" customWidth="1"/>
  </cols>
  <sheetData>
    <row r="1" spans="2:19" ht="15.75" customHeight="1"/>
    <row r="2" spans="2:19" ht="15.75" customHeight="1">
      <c r="B2" s="12" t="s">
        <v>0</v>
      </c>
      <c r="C2" s="37" t="s">
        <v>15</v>
      </c>
      <c r="D2" s="37"/>
      <c r="E2" s="37"/>
      <c r="F2" s="37"/>
      <c r="G2" s="37"/>
      <c r="I2" s="14" t="s">
        <v>17</v>
      </c>
      <c r="J2" s="14"/>
      <c r="M2" s="14"/>
      <c r="O2" s="33" t="s">
        <v>16</v>
      </c>
      <c r="Q2" s="33"/>
      <c r="R2" s="33"/>
    </row>
    <row r="3" spans="2:19" ht="15.75" customHeight="1">
      <c r="B3" s="7" t="s">
        <v>1</v>
      </c>
      <c r="C3" s="2" t="s">
        <v>16</v>
      </c>
      <c r="D3" s="2" t="s">
        <v>17</v>
      </c>
      <c r="E3" s="2"/>
      <c r="F3" s="2" t="s">
        <v>18</v>
      </c>
      <c r="G3" s="2" t="s">
        <v>19</v>
      </c>
      <c r="I3" s="25"/>
      <c r="J3" s="25" t="s">
        <v>22</v>
      </c>
      <c r="K3" s="25" t="s">
        <v>23</v>
      </c>
      <c r="L3" s="25" t="s">
        <v>24</v>
      </c>
      <c r="O3" s="25" t="s">
        <v>22</v>
      </c>
      <c r="P3" s="25" t="s">
        <v>23</v>
      </c>
      <c r="Q3" s="25" t="s">
        <v>24</v>
      </c>
    </row>
    <row r="4" spans="2:19" ht="15.75" customHeight="1">
      <c r="B4" s="5" t="s">
        <v>2</v>
      </c>
      <c r="C4" s="10">
        <v>5.0304343610000002</v>
      </c>
      <c r="D4" s="10">
        <v>6.0683359729999999</v>
      </c>
      <c r="E4" s="10">
        <f>D4*D4*J4</f>
        <v>1104.7410444361758</v>
      </c>
      <c r="F4" s="10">
        <v>9.6842874929999994</v>
      </c>
      <c r="G4" s="10">
        <v>8.3668825820000006</v>
      </c>
      <c r="I4" s="26">
        <v>44866</v>
      </c>
      <c r="J4" s="27">
        <v>30</v>
      </c>
      <c r="K4" s="27">
        <v>6.1332899999999997</v>
      </c>
      <c r="L4" s="27">
        <v>1.8471580000000001</v>
      </c>
      <c r="M4" s="11">
        <f>(D4-K4)*100/D4</f>
        <v>-1.0703762495847517</v>
      </c>
      <c r="N4" s="11"/>
      <c r="O4" s="36">
        <v>44866</v>
      </c>
      <c r="P4" s="16">
        <v>30</v>
      </c>
      <c r="Q4" s="16">
        <v>4.7416999999999998</v>
      </c>
      <c r="R4" s="16">
        <v>1.879467</v>
      </c>
      <c r="S4" s="11">
        <f>(C4-Q4)*100/C4</f>
        <v>5.739750094713548</v>
      </c>
    </row>
    <row r="5" spans="2:19" ht="15.75" customHeight="1">
      <c r="B5" s="5" t="s">
        <v>3</v>
      </c>
      <c r="C5" s="4">
        <v>5.7886891880000002</v>
      </c>
      <c r="D5" s="4">
        <v>5.6255488700000003</v>
      </c>
      <c r="E5" s="10">
        <f t="shared" ref="E5:E16" si="0">D5*D5*J5</f>
        <v>981.05080275150669</v>
      </c>
      <c r="F5" s="4">
        <v>8.9327450289999994</v>
      </c>
      <c r="G5" s="4">
        <v>9.0355871949999997</v>
      </c>
      <c r="I5" s="26">
        <v>44896</v>
      </c>
      <c r="J5" s="27">
        <v>31</v>
      </c>
      <c r="K5" s="27">
        <v>5.2534020000000003</v>
      </c>
      <c r="L5" s="27">
        <v>2.3241869999999998</v>
      </c>
      <c r="M5" s="11">
        <f t="shared" ref="M5:M17" si="1">(D5-K5)*100/D5</f>
        <v>6.6152988552741858</v>
      </c>
      <c r="N5" s="11"/>
      <c r="O5" s="36">
        <v>44896</v>
      </c>
      <c r="P5" s="16">
        <v>31</v>
      </c>
      <c r="Q5" s="16">
        <v>5.1265419999999997</v>
      </c>
      <c r="R5" s="16">
        <v>2.5756009999999998</v>
      </c>
      <c r="S5" s="11">
        <f t="shared" ref="S5:S17" si="2">(C5-Q5)*100/C5</f>
        <v>11.438637772652173</v>
      </c>
    </row>
    <row r="6" spans="2:19" ht="15.75" customHeight="1">
      <c r="B6" s="2" t="s">
        <v>4</v>
      </c>
      <c r="C6" s="1">
        <v>4.7736266040000004</v>
      </c>
      <c r="D6" s="1">
        <v>4.6589860700000001</v>
      </c>
      <c r="E6" s="10">
        <f t="shared" si="0"/>
        <v>672.89068721407534</v>
      </c>
      <c r="F6" s="1">
        <v>8.1163772339999998</v>
      </c>
      <c r="G6" s="1">
        <v>8.0379160410000008</v>
      </c>
      <c r="I6" s="26">
        <v>44927</v>
      </c>
      <c r="J6" s="27">
        <v>31</v>
      </c>
      <c r="K6" s="27">
        <v>4.3056159999999997</v>
      </c>
      <c r="L6" s="27">
        <v>1.6075790000000001</v>
      </c>
      <c r="M6" s="11">
        <f t="shared" si="1"/>
        <v>7.5846990029742765</v>
      </c>
      <c r="N6" s="11"/>
      <c r="O6" s="36">
        <v>44927</v>
      </c>
      <c r="P6" s="16">
        <v>31</v>
      </c>
      <c r="Q6" s="16">
        <v>3.4735070000000001</v>
      </c>
      <c r="R6" s="16">
        <v>1.9863930000000001</v>
      </c>
      <c r="S6" s="11">
        <f t="shared" si="2"/>
        <v>27.235469211407974</v>
      </c>
    </row>
    <row r="7" spans="2:19" ht="15.75" customHeight="1">
      <c r="B7" s="2" t="s">
        <v>5</v>
      </c>
      <c r="C7" s="1">
        <v>3.6558104259999999</v>
      </c>
      <c r="D7" s="1">
        <v>4.2521672959999997</v>
      </c>
      <c r="E7" s="10">
        <f t="shared" si="0"/>
        <v>506.26594796881454</v>
      </c>
      <c r="F7" s="1">
        <v>7.4515971710000004</v>
      </c>
      <c r="G7" s="1">
        <v>7.1743168370000001</v>
      </c>
      <c r="I7" s="26">
        <v>44958</v>
      </c>
      <c r="J7" s="27">
        <v>28</v>
      </c>
      <c r="K7" s="27">
        <v>3.5990449999999998</v>
      </c>
      <c r="L7" s="27">
        <v>1.415287</v>
      </c>
      <c r="M7" s="11">
        <f t="shared" si="1"/>
        <v>15.359750699705298</v>
      </c>
      <c r="N7" s="11"/>
      <c r="O7" s="36">
        <v>44958</v>
      </c>
      <c r="P7" s="16">
        <v>28</v>
      </c>
      <c r="Q7" s="16">
        <v>3.123319</v>
      </c>
      <c r="R7" s="16">
        <v>1.933613</v>
      </c>
      <c r="S7" s="11">
        <f t="shared" si="2"/>
        <v>14.565619218462178</v>
      </c>
    </row>
    <row r="8" spans="2:19" ht="15.75" customHeight="1">
      <c r="B8" s="2" t="s">
        <v>6</v>
      </c>
      <c r="C8" s="1">
        <v>3.2792545369999999</v>
      </c>
      <c r="D8" s="1">
        <v>3.8349522020000002</v>
      </c>
      <c r="E8" s="10">
        <f t="shared" si="0"/>
        <v>455.91261014036411</v>
      </c>
      <c r="F8" s="1">
        <v>4.676587864</v>
      </c>
      <c r="G8" s="1">
        <v>4.392054549</v>
      </c>
      <c r="I8" s="26">
        <v>44986</v>
      </c>
      <c r="J8" s="27">
        <v>31</v>
      </c>
      <c r="K8" s="27">
        <v>3.1099190000000001</v>
      </c>
      <c r="L8" s="27">
        <v>0.82294800000000001</v>
      </c>
      <c r="M8" s="11">
        <f t="shared" si="1"/>
        <v>18.905925388636696</v>
      </c>
      <c r="N8" s="11"/>
      <c r="O8" s="36">
        <v>44986</v>
      </c>
      <c r="P8" s="16">
        <v>31</v>
      </c>
      <c r="Q8" s="16">
        <v>3.068737</v>
      </c>
      <c r="R8" s="16">
        <v>1.163227</v>
      </c>
      <c r="S8" s="11">
        <f t="shared" si="2"/>
        <v>6.4196766254256721</v>
      </c>
    </row>
    <row r="9" spans="2:19" ht="15.75" customHeight="1">
      <c r="B9" s="2" t="s">
        <v>7</v>
      </c>
      <c r="C9" s="1">
        <v>4.5291598300000002</v>
      </c>
      <c r="D9" s="1">
        <v>4.1340661220000001</v>
      </c>
      <c r="E9" s="10">
        <f t="shared" si="0"/>
        <v>512.7150810320436</v>
      </c>
      <c r="F9" s="1">
        <v>5.1107563579999997</v>
      </c>
      <c r="G9" s="1">
        <v>5.6848538099999999</v>
      </c>
      <c r="I9" s="26">
        <v>45017</v>
      </c>
      <c r="J9" s="27">
        <v>30</v>
      </c>
      <c r="K9" s="27">
        <v>3.8095219999999999</v>
      </c>
      <c r="L9" s="27">
        <v>0.99190699999999998</v>
      </c>
      <c r="M9" s="11">
        <f t="shared" si="1"/>
        <v>7.8504821263717632</v>
      </c>
      <c r="N9" s="11"/>
      <c r="O9" s="36">
        <v>45017</v>
      </c>
      <c r="P9" s="16">
        <v>30</v>
      </c>
      <c r="Q9" s="16">
        <v>4.0981439999999996</v>
      </c>
      <c r="R9" s="16">
        <v>1.1154919999999999</v>
      </c>
      <c r="S9" s="11">
        <f t="shared" si="2"/>
        <v>9.5164632333145232</v>
      </c>
    </row>
    <row r="10" spans="2:19" ht="15.75" customHeight="1">
      <c r="B10" s="2" t="s">
        <v>8</v>
      </c>
      <c r="C10" s="1">
        <v>3.90630619</v>
      </c>
      <c r="D10" s="1">
        <v>4.1158585079999996</v>
      </c>
      <c r="E10" s="10">
        <f t="shared" si="0"/>
        <v>525.14902899415551</v>
      </c>
      <c r="F10" s="1">
        <v>7.7749484860000004</v>
      </c>
      <c r="G10" s="1">
        <v>4.3754246820000002</v>
      </c>
      <c r="I10" s="26">
        <v>45047</v>
      </c>
      <c r="J10" s="27">
        <v>31</v>
      </c>
      <c r="K10" s="27">
        <v>3.54989</v>
      </c>
      <c r="L10" s="27">
        <v>1.5522050000000001</v>
      </c>
      <c r="M10" s="11">
        <f t="shared" si="1"/>
        <v>13.750922362853968</v>
      </c>
      <c r="N10" s="11"/>
      <c r="O10" s="36">
        <v>45047</v>
      </c>
      <c r="P10" s="16">
        <v>31</v>
      </c>
      <c r="Q10" s="16">
        <v>3.400258</v>
      </c>
      <c r="R10" s="16">
        <v>1.890074</v>
      </c>
      <c r="S10" s="11">
        <f t="shared" si="2"/>
        <v>12.954647316062031</v>
      </c>
    </row>
    <row r="11" spans="2:19" ht="15.75" customHeight="1">
      <c r="B11" s="2" t="s">
        <v>9</v>
      </c>
      <c r="C11" s="1">
        <v>2.4353058000000001</v>
      </c>
      <c r="D11" s="1">
        <v>3.0607353759999998</v>
      </c>
      <c r="E11" s="10">
        <f t="shared" si="0"/>
        <v>281.04303125693582</v>
      </c>
      <c r="F11" s="1">
        <v>5.8912416869999999</v>
      </c>
      <c r="G11" s="1">
        <v>4.6483716450000001</v>
      </c>
      <c r="I11" s="26">
        <v>45078</v>
      </c>
      <c r="J11" s="27">
        <v>30</v>
      </c>
      <c r="K11" s="27">
        <v>3.03295</v>
      </c>
      <c r="L11" s="27">
        <v>1.035749</v>
      </c>
      <c r="M11" s="11">
        <f t="shared" si="1"/>
        <v>0.90780066182368824</v>
      </c>
      <c r="N11" s="11"/>
      <c r="O11" s="36">
        <v>45078</v>
      </c>
      <c r="P11" s="16">
        <v>30</v>
      </c>
      <c r="Q11" s="16">
        <v>2.4192100000000001</v>
      </c>
      <c r="R11" s="16">
        <v>1.101807</v>
      </c>
      <c r="S11" s="11">
        <f t="shared" si="2"/>
        <v>0.66093547676846143</v>
      </c>
    </row>
    <row r="12" spans="2:19" ht="15.75" customHeight="1">
      <c r="B12" s="2" t="s">
        <v>10</v>
      </c>
      <c r="C12" s="1">
        <v>2.356642076</v>
      </c>
      <c r="D12" s="1">
        <v>3.0319472169999999</v>
      </c>
      <c r="E12" s="10">
        <f t="shared" si="0"/>
        <v>284.97382172689538</v>
      </c>
      <c r="F12" s="1">
        <v>7.9742130820000003</v>
      </c>
      <c r="G12" s="1">
        <v>5.4519105950000002</v>
      </c>
      <c r="I12" s="26">
        <v>45108</v>
      </c>
      <c r="J12" s="27">
        <v>31</v>
      </c>
      <c r="K12" s="27">
        <v>2.8457849999999998</v>
      </c>
      <c r="L12" s="27">
        <v>0.95721400000000001</v>
      </c>
      <c r="M12" s="11">
        <f t="shared" si="1"/>
        <v>6.1400216981415916</v>
      </c>
      <c r="N12" s="11"/>
      <c r="O12" s="36">
        <v>45108</v>
      </c>
      <c r="P12" s="16">
        <v>31</v>
      </c>
      <c r="Q12" s="16">
        <v>2.4685830000000002</v>
      </c>
      <c r="R12" s="16">
        <v>1.0704130000000001</v>
      </c>
      <c r="S12" s="11">
        <f t="shared" si="2"/>
        <v>-4.7500180506834093</v>
      </c>
    </row>
    <row r="13" spans="2:19" ht="15.75" customHeight="1">
      <c r="B13" s="2" t="s">
        <v>11</v>
      </c>
      <c r="C13" s="1">
        <v>1.6263760330000001</v>
      </c>
      <c r="D13" s="1">
        <v>2.4539029050000001</v>
      </c>
      <c r="E13" s="10">
        <f t="shared" si="0"/>
        <v>186.67082348219063</v>
      </c>
      <c r="F13" s="1">
        <v>3.6830604999999998</v>
      </c>
      <c r="G13" s="1">
        <v>2.8170025289999998</v>
      </c>
      <c r="I13" s="26">
        <v>45139</v>
      </c>
      <c r="J13" s="27">
        <v>31</v>
      </c>
      <c r="K13" s="27">
        <v>2.5159189999999998</v>
      </c>
      <c r="L13" s="27">
        <v>0.93353200000000003</v>
      </c>
      <c r="M13" s="11">
        <f t="shared" si="1"/>
        <v>-2.527243228476463</v>
      </c>
      <c r="N13" s="11"/>
      <c r="O13" s="36">
        <v>45139</v>
      </c>
      <c r="P13" s="16">
        <v>31</v>
      </c>
      <c r="Q13" s="16">
        <v>1.615545</v>
      </c>
      <c r="R13" s="16">
        <v>0.477103</v>
      </c>
      <c r="S13" s="11">
        <f t="shared" si="2"/>
        <v>0.66596117873314109</v>
      </c>
    </row>
    <row r="14" spans="2:19" ht="15.75" customHeight="1">
      <c r="B14" s="2" t="s">
        <v>12</v>
      </c>
      <c r="C14" s="1">
        <v>4.2314853799999996</v>
      </c>
      <c r="D14" s="1">
        <v>5.180086395</v>
      </c>
      <c r="E14" s="10">
        <f t="shared" si="0"/>
        <v>804.99885178992281</v>
      </c>
      <c r="F14" s="1">
        <v>7.5156514720000001</v>
      </c>
      <c r="G14" s="1">
        <v>6.5934120949999997</v>
      </c>
      <c r="I14" s="26">
        <v>45170</v>
      </c>
      <c r="J14" s="27">
        <v>30</v>
      </c>
      <c r="K14" s="27">
        <v>3.273075</v>
      </c>
      <c r="L14" s="27">
        <v>1.793973</v>
      </c>
      <c r="M14" s="11">
        <f t="shared" si="1"/>
        <v>36.814277785805153</v>
      </c>
      <c r="N14" s="11"/>
      <c r="O14" s="36">
        <v>45170</v>
      </c>
      <c r="P14" s="16">
        <v>30</v>
      </c>
      <c r="Q14" s="16">
        <v>2.699211</v>
      </c>
      <c r="R14" s="16">
        <v>1.6085959999999999</v>
      </c>
      <c r="S14" s="11">
        <f t="shared" si="2"/>
        <v>36.211264896299831</v>
      </c>
    </row>
    <row r="15" spans="2:19" ht="15.75" customHeight="1">
      <c r="B15" s="2" t="s">
        <v>13</v>
      </c>
      <c r="C15" s="1">
        <v>3.3694093359999999</v>
      </c>
      <c r="D15" s="1">
        <v>2.6357319110000001</v>
      </c>
      <c r="E15" s="10">
        <f t="shared" si="0"/>
        <v>215.35956390657509</v>
      </c>
      <c r="F15" s="1">
        <v>4.9769918740000003</v>
      </c>
      <c r="G15" s="1">
        <v>4.0249376679999997</v>
      </c>
      <c r="I15" s="26">
        <v>45200</v>
      </c>
      <c r="J15" s="27">
        <v>31</v>
      </c>
      <c r="K15" s="27">
        <v>2.4659620000000002</v>
      </c>
      <c r="L15" s="27">
        <v>0.60367599999999999</v>
      </c>
      <c r="M15" s="11">
        <f t="shared" si="1"/>
        <v>6.4410917624618733</v>
      </c>
      <c r="N15" s="11"/>
      <c r="O15" s="36">
        <v>45200</v>
      </c>
      <c r="P15" s="16">
        <v>31</v>
      </c>
      <c r="Q15" s="16">
        <v>3.3015659999999998</v>
      </c>
      <c r="R15" s="16">
        <v>0.98877199999999998</v>
      </c>
      <c r="S15" s="11">
        <f t="shared" si="2"/>
        <v>2.0135082809659592</v>
      </c>
    </row>
    <row r="16" spans="2:19" ht="15.75" customHeight="1">
      <c r="B16" s="2" t="s">
        <v>20</v>
      </c>
      <c r="C16" s="4">
        <v>2.494168991</v>
      </c>
      <c r="D16" s="1">
        <v>2.927959113</v>
      </c>
      <c r="E16" s="10">
        <f t="shared" si="0"/>
        <v>257.18833702199237</v>
      </c>
      <c r="F16" s="1">
        <v>4.5442042310000001</v>
      </c>
      <c r="G16" s="1">
        <v>5.5562219060000002</v>
      </c>
      <c r="I16" s="26">
        <v>45231</v>
      </c>
      <c r="J16" s="27">
        <v>30</v>
      </c>
      <c r="K16" s="27">
        <v>3.4148209999999999</v>
      </c>
      <c r="L16" s="27">
        <v>1.4454940000000001</v>
      </c>
      <c r="M16" s="11">
        <f t="shared" si="1"/>
        <v>-16.628028883270812</v>
      </c>
      <c r="N16" s="11"/>
      <c r="O16" s="36">
        <v>45231</v>
      </c>
      <c r="P16" s="16">
        <v>30</v>
      </c>
      <c r="Q16" s="16">
        <v>2.9722520000000001</v>
      </c>
      <c r="R16" s="16">
        <v>1.2761070000000001</v>
      </c>
      <c r="S16" s="11">
        <f t="shared" si="2"/>
        <v>-19.16802793736602</v>
      </c>
    </row>
    <row r="17" spans="2:19" ht="15.75" customHeight="1">
      <c r="B17" s="2" t="s">
        <v>21</v>
      </c>
      <c r="C17" s="4">
        <v>2.715102103</v>
      </c>
      <c r="D17" s="1">
        <v>3.842757116</v>
      </c>
      <c r="E17" s="10">
        <f>D17*D17*J17</f>
        <v>457.77024982962774</v>
      </c>
      <c r="F17" s="1">
        <v>3.7932247239999999</v>
      </c>
      <c r="G17" s="1">
        <v>4.1686468239999996</v>
      </c>
      <c r="I17" s="26">
        <v>45261</v>
      </c>
      <c r="J17" s="27">
        <v>31</v>
      </c>
      <c r="K17" s="27">
        <v>2.9775670000000001</v>
      </c>
      <c r="L17" s="27">
        <v>1.0954109999999999</v>
      </c>
      <c r="M17" s="11">
        <f t="shared" si="1"/>
        <v>22.514826981846646</v>
      </c>
      <c r="N17" s="11"/>
      <c r="O17" s="36">
        <v>45261</v>
      </c>
      <c r="P17" s="16">
        <v>31</v>
      </c>
      <c r="Q17" s="16">
        <v>2.629235</v>
      </c>
      <c r="R17" s="16">
        <v>0.94738299999999998</v>
      </c>
      <c r="S17" s="11">
        <f t="shared" si="2"/>
        <v>3.1625736249521812</v>
      </c>
    </row>
    <row r="18" spans="2:19" ht="15.75" customHeight="1">
      <c r="B18" s="2" t="s">
        <v>14</v>
      </c>
      <c r="C18" s="8">
        <v>3.7643939350000002</v>
      </c>
      <c r="D18" s="8">
        <v>4.1244518430000001</v>
      </c>
      <c r="E18" s="8">
        <f>SQRT(SUM(E4:E17)/SUM(J4:J17))</f>
        <v>4.1244518433770478</v>
      </c>
      <c r="F18" s="8">
        <v>6.710040244</v>
      </c>
      <c r="G18" s="8">
        <v>5.9974492870000002</v>
      </c>
      <c r="I18" s="32" t="s">
        <v>14</v>
      </c>
      <c r="J18" s="32"/>
      <c r="K18" s="31">
        <v>3.7229999999999999</v>
      </c>
      <c r="L18" s="28"/>
      <c r="M18" s="18">
        <f>SUM(M4:M17)/12</f>
        <v>10.221620747046925</v>
      </c>
      <c r="N18" s="11"/>
      <c r="O18" s="14" t="s">
        <v>14</v>
      </c>
      <c r="P18" s="18"/>
      <c r="Q18" s="22">
        <v>3.3468499999999999</v>
      </c>
      <c r="R18" s="18">
        <f>AVERAGE(R4:R17)</f>
        <v>1.429574857142857</v>
      </c>
    </row>
    <row r="19" spans="2:19" ht="15.75" customHeight="1">
      <c r="C19" s="11"/>
      <c r="I19" s="14" t="s">
        <v>25</v>
      </c>
      <c r="J19" s="14"/>
      <c r="K19" s="24">
        <f>(D18-K18)*100/D18</f>
        <v>9.7334593366956721</v>
      </c>
      <c r="L19" s="24" t="s">
        <v>26</v>
      </c>
      <c r="M19" s="18"/>
      <c r="N19" s="11"/>
      <c r="O19" s="14" t="s">
        <v>25</v>
      </c>
      <c r="P19" s="18"/>
      <c r="Q19" s="29">
        <f>(C18-Q18)*100/C18</f>
        <v>11.091929862011115</v>
      </c>
      <c r="R19" s="18" t="s">
        <v>26</v>
      </c>
    </row>
    <row r="20" spans="2:19" ht="15.75" customHeight="1"/>
    <row r="21" spans="2:19" ht="15.75" customHeight="1"/>
  </sheetData>
  <mergeCells count="1">
    <mergeCell ref="C2:G2"/>
  </mergeCells>
  <conditionalFormatting sqref="C4:C18">
    <cfRule type="colorScale" priority="8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conditionalFormatting sqref="D4:E18">
    <cfRule type="colorScale" priority="3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conditionalFormatting sqref="F4:F18">
    <cfRule type="colorScale" priority="2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conditionalFormatting sqref="G4:G18">
    <cfRule type="colorScale" priority="1">
      <colorScale>
        <cfvo type="num" val="2"/>
        <cfvo type="percentile" val="50"/>
        <cfvo type="num" val="8"/>
        <color rgb="FF83CB96"/>
        <color rgb="FFFFF0A3"/>
        <color rgb="FFFA9093"/>
      </colorScale>
    </cfRule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2bbd56-0464-4674-b57f-988d1f32e9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B6B7F0401A4B822EB215BCCB4D85" ma:contentTypeVersion="11" ma:contentTypeDescription="Create a new document." ma:contentTypeScope="" ma:versionID="885521c40e77f246645a66ce246bda4a">
  <xsd:schema xmlns:xsd="http://www.w3.org/2001/XMLSchema" xmlns:xs="http://www.w3.org/2001/XMLSchema" xmlns:p="http://schemas.microsoft.com/office/2006/metadata/properties" xmlns:ns2="452bbd56-0464-4674-b57f-988d1f32e969" xmlns:ns3="1129f5d0-e0e0-4267-be72-dc132764ea1b" targetNamespace="http://schemas.microsoft.com/office/2006/metadata/properties" ma:root="true" ma:fieldsID="fcb4702b9c1e34f65e3a07e41280547b" ns2:_="" ns3:_="">
    <xsd:import namespace="452bbd56-0464-4674-b57f-988d1f32e969"/>
    <xsd:import namespace="1129f5d0-e0e0-4267-be72-dc132764ea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bbd56-0464-4674-b57f-988d1f32e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369207b-216a-4e96-89ed-5afb4b19d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29f5d0-e0e0-4267-be72-dc132764ea1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97E4FC-3759-4C8F-AC6A-664C49FFB8A3}">
  <ds:schemaRefs>
    <ds:schemaRef ds:uri="http://schemas.microsoft.com/office/2006/metadata/properties"/>
    <ds:schemaRef ds:uri="http://schemas.microsoft.com/office/infopath/2007/PartnerControls"/>
    <ds:schemaRef ds:uri="452bbd56-0464-4674-b57f-988d1f32e969"/>
  </ds:schemaRefs>
</ds:datastoreItem>
</file>

<file path=customXml/itemProps2.xml><?xml version="1.0" encoding="utf-8"?>
<ds:datastoreItem xmlns:ds="http://schemas.openxmlformats.org/officeDocument/2006/customXml" ds:itemID="{5F61EEAB-8A3A-4F33-81B9-5F84A15472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C092F3-C557-4847-8270-AD56E0BBE1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2bbd56-0464-4674-b57f-988d1f32e969"/>
    <ds:schemaRef ds:uri="1129f5d0-e0e0-4267-be72-dc132764ea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ROLLING</vt:lpstr>
      <vt:lpstr>ROLLING 2023</vt:lpstr>
      <vt:lpstr>ROLLING 2022-23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Thanit Anchaleechamaikorn</dc:creator>
  <cp:keywords/>
  <dc:description/>
  <cp:lastModifiedBy>MMIL</cp:lastModifiedBy>
  <cp:revision/>
  <dcterms:created xsi:type="dcterms:W3CDTF">2023-11-15T09:02:13Z</dcterms:created>
  <dcterms:modified xsi:type="dcterms:W3CDTF">2024-07-04T08:59:17Z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0x01010078F8B6B7F0401A4B822EB215BCCB4D85</vt:lpwstr>
  </property>
  <property fmtid="{D5CDD505-2E9C-101B-9397-08002B2CF9AE}" pid="3" name="MediaServiceImageTags">
    <vt:lpwstr/>
  </property>
</Properties>
</file>